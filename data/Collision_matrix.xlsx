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llagroup-my.sharepoint.com/personal/boris_yotsov_xella_com/Documents/U_Drive/Privat/3.PC/Data_Science/12.Project/"/>
    </mc:Choice>
  </mc:AlternateContent>
  <xr:revisionPtr revIDLastSave="162" documentId="8_{9056F7FD-41AB-47C4-AA94-477E4FFE7E47}" xr6:coauthVersionLast="47" xr6:coauthVersionMax="47" xr10:uidLastSave="{BBB71016-F4AD-4EC7-A0F5-CA5818739F40}"/>
  <bookViews>
    <workbookView xWindow="-120" yWindow="-120" windowWidth="29040" windowHeight="17520" xr2:uid="{239D3EDE-B7C9-4CD4-913A-6A13D0B8B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B12" i="1"/>
  <c r="M3" i="1"/>
  <c r="M4" i="1"/>
  <c r="M5" i="1"/>
  <c r="M6" i="1"/>
  <c r="M7" i="1"/>
  <c r="M8" i="1"/>
  <c r="M9" i="1"/>
  <c r="M10" i="1"/>
  <c r="M11" i="1"/>
  <c r="M2" i="1"/>
  <c r="M12" i="1" l="1"/>
</calcChain>
</file>

<file path=xl/sharedStrings.xml><?xml version="1.0" encoding="utf-8"?>
<sst xmlns="http://schemas.openxmlformats.org/spreadsheetml/2006/main" count="24" uniqueCount="22">
  <si>
    <t>Fatalities</t>
  </si>
  <si>
    <t>Pedestrian</t>
  </si>
  <si>
    <t>e-scooter</t>
  </si>
  <si>
    <t>Bicycle</t>
  </si>
  <si>
    <t>Moped</t>
  </si>
  <si>
    <t>Motorbike</t>
  </si>
  <si>
    <t>Car</t>
  </si>
  <si>
    <t>Lorry (&lt;3.5t)</t>
  </si>
  <si>
    <t>Heavy goods Vehicle(&gt;3.5t)</t>
  </si>
  <si>
    <t>Bus or coach</t>
  </si>
  <si>
    <t>other vehicle/unknown</t>
  </si>
  <si>
    <t>No other vehicle involved</t>
  </si>
  <si>
    <t>Total</t>
  </si>
  <si>
    <t>e-scooter riders</t>
  </si>
  <si>
    <t>Cyclists</t>
  </si>
  <si>
    <t>Moped riders</t>
  </si>
  <si>
    <t>Motocyclists</t>
  </si>
  <si>
    <t>Car occupants</t>
  </si>
  <si>
    <t>Lorry (&lt;3.5t) occupants</t>
  </si>
  <si>
    <t>Heavy goods Vehicle(&gt;3.5t) occupants</t>
  </si>
  <si>
    <t>Bus or coach occupants</t>
  </si>
  <si>
    <t>other /unknown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</si>
</sst>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E6AF-069C-408D-8A8A-2CBBC8A90A4E}">
  <dimension ref="A1:M12"/>
  <sheetViews>
    <sheetView tabSelected="1" workbookViewId="0">
      <selection activeCell="L19" sqref="L19"/>
    </sheetView>
  </sheetViews>
  <sheetFormatPr defaultRowHeight="14.25" x14ac:dyDescent="0.2"/>
  <cols>
    <col min="1" max="1" width="32.75" customWidth="1"/>
    <col min="2" max="2" width="9.625" bestFit="1" customWidth="1"/>
    <col min="3" max="3" width="9.625" customWidth="1"/>
    <col min="8" max="8" width="10.875" bestFit="1" customWidth="1"/>
    <col min="9" max="9" width="23.5" bestFit="1" customWidth="1"/>
    <col min="10" max="10" width="11.75" bestFit="1" customWidth="1"/>
    <col min="11" max="11" width="19.125" bestFit="1" customWidth="1"/>
    <col min="12" max="12" width="21.25" bestFit="1" customWidth="1"/>
  </cols>
  <sheetData>
    <row r="1" spans="1:13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2" t="s">
        <v>1</v>
      </c>
      <c r="B2" s="3">
        <v>0</v>
      </c>
      <c r="C2" s="3">
        <v>10</v>
      </c>
      <c r="D2" s="3">
        <v>18</v>
      </c>
      <c r="E2" s="3">
        <v>12</v>
      </c>
      <c r="F2" s="3">
        <v>96</v>
      </c>
      <c r="G2" s="3">
        <v>2302</v>
      </c>
      <c r="H2" s="3">
        <v>414</v>
      </c>
      <c r="I2" s="3">
        <v>391</v>
      </c>
      <c r="J2" s="3">
        <v>127</v>
      </c>
      <c r="K2" s="3">
        <v>190</v>
      </c>
      <c r="L2" s="3">
        <v>0</v>
      </c>
      <c r="M2" s="3">
        <f>SUM(B2:L2)</f>
        <v>3560</v>
      </c>
    </row>
    <row r="3" spans="1:13" x14ac:dyDescent="0.2">
      <c r="A3" s="2" t="s">
        <v>13</v>
      </c>
      <c r="B3" s="3">
        <v>1</v>
      </c>
      <c r="C3" s="3">
        <v>1</v>
      </c>
      <c r="D3" s="3">
        <v>2</v>
      </c>
      <c r="E3" s="3">
        <v>0</v>
      </c>
      <c r="F3" s="3">
        <v>0</v>
      </c>
      <c r="G3" s="3">
        <v>57</v>
      </c>
      <c r="H3" s="3">
        <v>6</v>
      </c>
      <c r="I3" s="3">
        <v>8</v>
      </c>
      <c r="J3" s="3">
        <v>4</v>
      </c>
      <c r="K3" s="3">
        <v>3</v>
      </c>
      <c r="L3" s="3">
        <v>66</v>
      </c>
      <c r="M3" s="3">
        <f t="shared" ref="M3:M11" si="0">SUM(B3:L3)</f>
        <v>148</v>
      </c>
    </row>
    <row r="4" spans="1:13" x14ac:dyDescent="0.2">
      <c r="A4" s="2" t="s">
        <v>14</v>
      </c>
      <c r="B4" s="3">
        <v>9</v>
      </c>
      <c r="C4" s="3">
        <v>0</v>
      </c>
      <c r="D4" s="3">
        <v>52</v>
      </c>
      <c r="E4" s="3">
        <v>6</v>
      </c>
      <c r="F4" s="3">
        <v>46</v>
      </c>
      <c r="G4" s="3">
        <v>817</v>
      </c>
      <c r="H4" s="3">
        <v>122</v>
      </c>
      <c r="I4" s="3">
        <v>175</v>
      </c>
      <c r="J4" s="3">
        <v>28</v>
      </c>
      <c r="K4" s="3">
        <v>66</v>
      </c>
      <c r="L4" s="3">
        <v>498</v>
      </c>
      <c r="M4" s="3">
        <f t="shared" si="0"/>
        <v>1819</v>
      </c>
    </row>
    <row r="5" spans="1:13" x14ac:dyDescent="0.2">
      <c r="A5" s="2" t="s">
        <v>15</v>
      </c>
      <c r="B5" s="3">
        <v>2</v>
      </c>
      <c r="C5" s="3">
        <v>0</v>
      </c>
      <c r="D5" s="3">
        <v>1</v>
      </c>
      <c r="E5" s="3">
        <v>2</v>
      </c>
      <c r="F5" s="3">
        <v>12</v>
      </c>
      <c r="G5" s="3">
        <v>204</v>
      </c>
      <c r="H5" s="3">
        <v>43</v>
      </c>
      <c r="I5" s="3">
        <v>32</v>
      </c>
      <c r="J5" s="3">
        <v>8</v>
      </c>
      <c r="K5" s="3">
        <v>26</v>
      </c>
      <c r="L5" s="3">
        <v>148</v>
      </c>
      <c r="M5" s="3">
        <f t="shared" si="0"/>
        <v>478</v>
      </c>
    </row>
    <row r="6" spans="1:13" x14ac:dyDescent="0.2">
      <c r="A6" s="2" t="s">
        <v>16</v>
      </c>
      <c r="B6" s="3">
        <v>16</v>
      </c>
      <c r="C6" s="3">
        <v>0</v>
      </c>
      <c r="D6" s="3">
        <v>7</v>
      </c>
      <c r="E6" s="3">
        <v>7</v>
      </c>
      <c r="F6" s="3">
        <v>132</v>
      </c>
      <c r="G6" s="3">
        <v>1583</v>
      </c>
      <c r="H6" s="3">
        <v>232</v>
      </c>
      <c r="I6" s="3">
        <v>205</v>
      </c>
      <c r="J6" s="3">
        <v>38</v>
      </c>
      <c r="K6" s="3">
        <v>119</v>
      </c>
      <c r="L6" s="3">
        <v>1345</v>
      </c>
      <c r="M6" s="3">
        <f t="shared" si="0"/>
        <v>3684</v>
      </c>
    </row>
    <row r="7" spans="1:13" x14ac:dyDescent="0.2">
      <c r="A7" s="2" t="s">
        <v>17</v>
      </c>
      <c r="B7" s="3">
        <v>16</v>
      </c>
      <c r="C7" s="3">
        <v>1</v>
      </c>
      <c r="D7" s="3">
        <v>13</v>
      </c>
      <c r="E7" s="3">
        <v>5</v>
      </c>
      <c r="F7" s="3">
        <v>17</v>
      </c>
      <c r="G7" s="3">
        <v>2675</v>
      </c>
      <c r="H7" s="3">
        <v>548</v>
      </c>
      <c r="I7" s="3">
        <v>1284</v>
      </c>
      <c r="J7" s="3">
        <v>147</v>
      </c>
      <c r="K7" s="3">
        <v>201</v>
      </c>
      <c r="L7" s="3">
        <v>3805</v>
      </c>
      <c r="M7" s="3">
        <f t="shared" si="0"/>
        <v>8712</v>
      </c>
    </row>
    <row r="8" spans="1:13" x14ac:dyDescent="0.2">
      <c r="A8" s="2" t="s">
        <v>18</v>
      </c>
      <c r="B8" s="3">
        <v>0</v>
      </c>
      <c r="C8" s="3">
        <v>0</v>
      </c>
      <c r="D8" s="3">
        <v>2</v>
      </c>
      <c r="E8" s="3">
        <v>0</v>
      </c>
      <c r="F8" s="3">
        <v>1</v>
      </c>
      <c r="G8" s="3">
        <v>98</v>
      </c>
      <c r="H8" s="3">
        <v>68</v>
      </c>
      <c r="I8" s="3">
        <v>172</v>
      </c>
      <c r="J8" s="3">
        <v>15</v>
      </c>
      <c r="K8" s="3">
        <v>20</v>
      </c>
      <c r="L8" s="3">
        <v>245</v>
      </c>
      <c r="M8" s="3">
        <f t="shared" si="0"/>
        <v>621</v>
      </c>
    </row>
    <row r="9" spans="1:13" x14ac:dyDescent="0.2">
      <c r="A9" s="2" t="s">
        <v>19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49</v>
      </c>
      <c r="H9" s="3">
        <v>13</v>
      </c>
      <c r="I9" s="3">
        <v>152</v>
      </c>
      <c r="J9" s="3">
        <v>2</v>
      </c>
      <c r="K9" s="3">
        <v>11</v>
      </c>
      <c r="L9" s="3">
        <v>138</v>
      </c>
      <c r="M9" s="3">
        <f t="shared" si="0"/>
        <v>365</v>
      </c>
    </row>
    <row r="10" spans="1:13" x14ac:dyDescent="0.2">
      <c r="A10" s="2" t="s">
        <v>20</v>
      </c>
      <c r="B10" s="3">
        <v>1</v>
      </c>
      <c r="C10" s="3">
        <v>0</v>
      </c>
      <c r="D10" s="3">
        <v>0</v>
      </c>
      <c r="E10" s="3">
        <v>0</v>
      </c>
      <c r="F10" s="3">
        <v>1</v>
      </c>
      <c r="G10" s="3">
        <v>7</v>
      </c>
      <c r="H10" s="3">
        <v>4</v>
      </c>
      <c r="I10" s="3">
        <v>3</v>
      </c>
      <c r="J10" s="3">
        <v>1</v>
      </c>
      <c r="K10" s="3">
        <v>7</v>
      </c>
      <c r="L10" s="3">
        <v>36</v>
      </c>
      <c r="M10" s="3">
        <f t="shared" si="0"/>
        <v>60</v>
      </c>
    </row>
    <row r="11" spans="1:13" x14ac:dyDescent="0.2">
      <c r="A11" s="2" t="s">
        <v>21</v>
      </c>
      <c r="B11" s="3">
        <v>1</v>
      </c>
      <c r="C11" s="3">
        <v>0</v>
      </c>
      <c r="D11" s="3">
        <v>0</v>
      </c>
      <c r="E11" s="3">
        <v>0</v>
      </c>
      <c r="F11" s="3">
        <v>5</v>
      </c>
      <c r="G11" s="3">
        <v>136</v>
      </c>
      <c r="H11" s="3">
        <v>32</v>
      </c>
      <c r="I11" s="3">
        <v>37</v>
      </c>
      <c r="J11" s="3">
        <v>7</v>
      </c>
      <c r="K11" s="3">
        <v>28</v>
      </c>
      <c r="L11" s="3">
        <v>261</v>
      </c>
      <c r="M11" s="3">
        <f t="shared" si="0"/>
        <v>507</v>
      </c>
    </row>
    <row r="12" spans="1:13" x14ac:dyDescent="0.2">
      <c r="A12" s="2" t="s">
        <v>12</v>
      </c>
      <c r="B12" s="3">
        <f>SUM(B2:B11)</f>
        <v>46</v>
      </c>
      <c r="C12" s="3">
        <f t="shared" ref="C12:L12" si="1">SUM(C2:C11)</f>
        <v>12</v>
      </c>
      <c r="D12" s="3">
        <f t="shared" si="1"/>
        <v>95</v>
      </c>
      <c r="E12" s="3">
        <f t="shared" si="1"/>
        <v>32</v>
      </c>
      <c r="F12" s="3">
        <f t="shared" si="1"/>
        <v>310</v>
      </c>
      <c r="G12" s="3">
        <f t="shared" si="1"/>
        <v>7928</v>
      </c>
      <c r="H12" s="3">
        <f t="shared" si="1"/>
        <v>1482</v>
      </c>
      <c r="I12" s="3">
        <f t="shared" si="1"/>
        <v>2459</v>
      </c>
      <c r="J12" s="3">
        <f t="shared" si="1"/>
        <v>377</v>
      </c>
      <c r="K12" s="3">
        <f t="shared" si="1"/>
        <v>671</v>
      </c>
      <c r="L12" s="3">
        <f t="shared" si="1"/>
        <v>6542</v>
      </c>
      <c r="M12" s="3">
        <f>SUM(B12:L12)</f>
        <v>19954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Yotsov, Boris</dc:creator>
  <cp:lastModifiedBy>Yotsov, Boris</cp:lastModifiedBy>
  <dcterms:created xsi:type="dcterms:W3CDTF">2026-04-21T14:47:34Z</dcterms:created>
  <dcterms:modified xsi:type="dcterms:W3CDTF">2026-04-21T14:57:22Z</dcterms:modified>
</cp:coreProperties>
</file>